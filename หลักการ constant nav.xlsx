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s97346\Downloads\"/>
    </mc:Choice>
  </mc:AlternateContent>
  <xr:revisionPtr revIDLastSave="0" documentId="8_{1EDAFC9A-7E63-4D87-BD51-C0D182FF6448}" xr6:coauthVersionLast="47" xr6:coauthVersionMax="47" xr10:uidLastSave="{00000000-0000-0000-0000-000000000000}"/>
  <bookViews>
    <workbookView xWindow="28680" yWindow="-120" windowWidth="29040" windowHeight="15720" xr2:uid="{3F4444FA-056B-429A-91D7-3E06B767D801}"/>
  </bookViews>
  <sheets>
    <sheet name="NAV เพิ่มขึ้น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7" i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7" i="1" a="1"/>
  <c r="B42" i="1"/>
  <c r="B2" i="1"/>
  <c r="B3" i="1" s="1"/>
  <c r="D43" i="1" s="1"/>
  <c r="B4" i="1" l="1"/>
  <c r="C10" i="1"/>
  <c r="D10" i="1" s="1"/>
  <c r="E10" i="1" s="1"/>
  <c r="C21" i="1"/>
  <c r="D21" i="1" s="1"/>
  <c r="E21" i="1" s="1"/>
  <c r="C33" i="1"/>
  <c r="D33" i="1" s="1"/>
  <c r="E33" i="1" s="1"/>
  <c r="C9" i="1"/>
  <c r="C20" i="1"/>
  <c r="C31" i="1"/>
  <c r="C29" i="1"/>
  <c r="C16" i="1"/>
  <c r="C8" i="1"/>
  <c r="C19" i="1"/>
  <c r="C18" i="1"/>
  <c r="C17" i="1"/>
  <c r="C28" i="1"/>
  <c r="C39" i="1"/>
  <c r="C15" i="1"/>
  <c r="C38" i="1"/>
  <c r="C14" i="1"/>
  <c r="C37" i="1"/>
  <c r="C25" i="1"/>
  <c r="C13" i="1"/>
  <c r="C36" i="1"/>
  <c r="C12" i="1"/>
  <c r="C7" i="1"/>
  <c r="C35" i="1"/>
  <c r="C23" i="1"/>
  <c r="C11" i="1"/>
  <c r="C32" i="1"/>
  <c r="C30" i="1"/>
  <c r="C41" i="1"/>
  <c r="C40" i="1"/>
  <c r="C27" i="1"/>
  <c r="C26" i="1"/>
  <c r="C24" i="1"/>
  <c r="C34" i="1"/>
  <c r="C22" i="1"/>
  <c r="D22" i="1" l="1"/>
  <c r="E22" i="1" s="1"/>
  <c r="E7" i="1"/>
  <c r="D18" i="1"/>
  <c r="E18" i="1" s="1"/>
  <c r="D34" i="1"/>
  <c r="E34" i="1" s="1"/>
  <c r="D12" i="1"/>
  <c r="E12" i="1" s="1"/>
  <c r="D19" i="1"/>
  <c r="E19" i="1" s="1"/>
  <c r="D24" i="1"/>
  <c r="E24" i="1" s="1"/>
  <c r="D36" i="1"/>
  <c r="E36" i="1" s="1"/>
  <c r="D8" i="1"/>
  <c r="E8" i="1" s="1"/>
  <c r="E26" i="1"/>
  <c r="D13" i="1"/>
  <c r="E13" i="1" s="1"/>
  <c r="D16" i="1"/>
  <c r="E16" i="1" s="1"/>
  <c r="D27" i="1"/>
  <c r="E27" i="1" s="1"/>
  <c r="D25" i="1"/>
  <c r="E25" i="1" s="1"/>
  <c r="D29" i="1"/>
  <c r="E29" i="1" s="1"/>
  <c r="D40" i="1"/>
  <c r="E40" i="1" s="1"/>
  <c r="D37" i="1"/>
  <c r="E37" i="1" s="1"/>
  <c r="D31" i="1"/>
  <c r="E31" i="1" s="1"/>
  <c r="D41" i="1"/>
  <c r="E41" i="1" s="1"/>
  <c r="D14" i="1"/>
  <c r="E14" i="1" s="1"/>
  <c r="D20" i="1"/>
  <c r="E20" i="1" s="1"/>
  <c r="D30" i="1"/>
  <c r="E30" i="1" s="1"/>
  <c r="D38" i="1"/>
  <c r="E38" i="1" s="1"/>
  <c r="D15" i="1"/>
  <c r="E15" i="1" s="1"/>
  <c r="D23" i="1"/>
  <c r="E23" i="1" s="1"/>
  <c r="D28" i="1"/>
  <c r="E28" i="1" s="1"/>
  <c r="D9" i="1"/>
  <c r="E9" i="1" s="1"/>
  <c r="D32" i="1"/>
  <c r="E32" i="1" s="1"/>
  <c r="D11" i="1"/>
  <c r="E11" i="1" s="1"/>
  <c r="D39" i="1"/>
  <c r="E39" i="1" s="1"/>
  <c r="D35" i="1"/>
  <c r="E35" i="1" s="1"/>
  <c r="D17" i="1"/>
  <c r="E17" i="1" s="1"/>
  <c r="D42" i="1" l="1"/>
  <c r="D44" i="1" s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NAPHONG SUDTHISORNYOTHIN</author>
  </authors>
  <commentList>
    <comment ref="B4" authorId="0" shapeId="0" xr:uid="{0EB07F49-485F-41A8-98DF-49B3C788ABEA}">
      <text>
        <r>
          <rPr>
            <b/>
            <sz val="9"/>
            <color indexed="81"/>
            <rFont val="Tahoma"/>
          </rPr>
          <t>Step 1 หาจำนวน token ที่จะต้องเอาไปโปรยให้แต่ละ sub-wallet</t>
        </r>
      </text>
    </comment>
    <comment ref="I6" authorId="0" shapeId="0" xr:uid="{E563F6AE-B3B5-4663-8471-FE03E9D759D6}">
      <text>
        <r>
          <rPr>
            <b/>
            <sz val="9"/>
            <color indexed="81"/>
            <rFont val="Tahoma"/>
          </rPr>
          <t>Step 4 : เอาเศษที่เหลือมาโปรยให้แต่ละ Sub-Wallet ที่ละ 0.01 Token ไปจนกว่าจะหมดเศษที่เหลือ (มีทั้งเศษแบบ + หรือ เศษแบบ -)
เรียกลำดับ Sub-Wallet จาก
1 เรียกจากจำนวน Token (หลังโปรยรอบแรก) จากมากไปน้อย
2 ถ้ามีจำนวน Token เท่ากัน ให้เรียงต่อด้วยวันที่สร้าง Sub-Wallet จากน้อยไปมาก</t>
        </r>
      </text>
    </comment>
    <comment ref="D7" authorId="0" shapeId="0" xr:uid="{CAAC7520-4B78-4ED6-ABB9-7A6E3BF345BE}">
      <text>
        <r>
          <rPr>
            <b/>
            <sz val="9"/>
            <color indexed="81"/>
            <rFont val="Tahoma"/>
          </rPr>
          <t>Step 2 : โปรยให้แต่ละ
sub-Wallet 
โดยเอาตัวเลขใน Step 1 มา คูณ ด้วยจำนวน Token คงเหลือของแต่ละ Sub-wallet เอาผลคูณ Round 2 ตำแหน่ง
ทำไปเรื่อย ๆ จนครบทุก Sub-Wallet</t>
        </r>
      </text>
    </comment>
    <comment ref="D44" authorId="0" shapeId="0" xr:uid="{3B48BBE5-D8A5-4488-BAE2-14F75525E0BB}">
      <text>
        <r>
          <rPr>
            <b/>
            <sz val="9"/>
            <color indexed="81"/>
            <rFont val="Tahoma"/>
          </rPr>
          <t>Step 3 หาผลต่างว่าหน่วยที่โปรยแล้วเหลือส่วนต่างกับจำนวนหน่วยทั้งหมดเท่าไหร่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<sst xmlns="http://schemas.openxmlformats.org/spreadsheetml/2006/main" count="50" uniqueCount="49">
  <si>
    <t>NAV เมื่อวาน</t>
  </si>
  <si>
    <t>NAV วันนี้</t>
  </si>
  <si>
    <t>(NAV ปรับเพิ่มขึ้น 0.353587654%)</t>
  </si>
  <si>
    <t>NAV Diff</t>
  </si>
  <si>
    <t>ตัวคูณ = NAV Diff / จำนวนหน่วย</t>
  </si>
  <si>
    <t>จำนวนหน่วย (เมื่อวาน)</t>
  </si>
  <si>
    <t>ผลคูณ (บาท)</t>
  </si>
  <si>
    <t>จำนวนหน่วย (วันนี้)</t>
  </si>
  <si>
    <t>วันที่สร้าง Wallet</t>
  </si>
  <si>
    <t>ลำดับในการโปรย</t>
  </si>
  <si>
    <t>สมชาย</t>
  </si>
  <si>
    <t>สมหญิง</t>
  </si>
  <si>
    <t>วิชัย</t>
  </si>
  <si>
    <t>กานต์พิชชา</t>
  </si>
  <si>
    <t>ณัฐพล</t>
  </si>
  <si>
    <t>พรทิพย์</t>
  </si>
  <si>
    <t>ธนกฤต</t>
  </si>
  <si>
    <t>ชลธิชา</t>
  </si>
  <si>
    <t>เอกชัย</t>
  </si>
  <si>
    <t>สุพัตรา</t>
  </si>
  <si>
    <t>วีรภัทร</t>
  </si>
  <si>
    <t>นภัสสร</t>
  </si>
  <si>
    <t>ปกรณ์</t>
  </si>
  <si>
    <t>รัชนีกร</t>
  </si>
  <si>
    <t>ทศพร</t>
  </si>
  <si>
    <t>อรอนงค์</t>
  </si>
  <si>
    <t>กิตติศักดิ์</t>
  </si>
  <si>
    <t>กันยารัตน์</t>
  </si>
  <si>
    <t>พีรพล</t>
  </si>
  <si>
    <t>ชุติมา</t>
  </si>
  <si>
    <t>สหรัฐ</t>
  </si>
  <si>
    <t>จิราภา</t>
  </si>
  <si>
    <t>เอกภพ</t>
  </si>
  <si>
    <t>สุภาวดี</t>
  </si>
  <si>
    <t>ภาณุพงศ์</t>
  </si>
  <si>
    <t>พิมพ์ชนก</t>
  </si>
  <si>
    <t>ธีรภัทร</t>
  </si>
  <si>
    <t>วรรณิศา</t>
  </si>
  <si>
    <t>โอภาส</t>
  </si>
  <si>
    <t>กมลชนก</t>
  </si>
  <si>
    <t>ศรายุทธ</t>
  </si>
  <si>
    <t>ฐิตาภา</t>
  </si>
  <si>
    <t>ชาญณรงค์</t>
  </si>
  <si>
    <t>อัญชลี</t>
  </si>
  <si>
    <t>ปิยวัฒน์</t>
  </si>
  <si>
    <t>รวมจำนวนหน่วย</t>
  </si>
  <si>
    <t>รวมจำนวนเงิน</t>
  </si>
  <si>
    <t>การเปลี่ยนแปลงของ NAV</t>
  </si>
  <si>
    <t>ผลต่าง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</si>
</sst>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7" formatCode="_(* #,##0.00_);_(* \(#,##0.00\);_(* &quot;-&quot;??_);_(@_)"/>
    <numFmt numFmtId="188" formatCode="_(* #,##0.00_);_(* \(#,##0.00\);_(* &quot;-&quot;???????????????????_);_(@_)"/>
    <numFmt numFmtId="189" formatCode="_(* #,##0.0000_);_(* \(#,##0.0000\);_(* &quot;-&quot;??_);_(@_)"/>
    <numFmt numFmtId="190" formatCode="_(* #,##0.0000000000_);_(* \(#,##0.0000000000\);_(* &quot;-&quot;??_);_(@_)"/>
    <numFmt numFmtId="191" formatCode="0.00000000000"/>
    <numFmt numFmtId="192" formatCode="_-* #,##0.00000000000_-;\-* #,##0.00000000000_-;_-* &quot;-&quot;???????????_-;_-@_-"/>
  </numFmts>
  <fonts count="12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ajor"/>
    </font>
    <font>
      <sz val="12"/>
      <color rgb="FFFF0000"/>
      <name val="Tahoma"/>
      <family val="2"/>
      <scheme val="major"/>
    </font>
    <font>
      <b/>
      <sz val="11"/>
      <color rgb="FFFF0000"/>
      <name val="Tahoma"/>
      <family val="2"/>
      <scheme val="minor"/>
    </font>
    <font>
      <b/>
      <sz val="12"/>
      <color rgb="FFFF0000"/>
      <name val="Tahoma"/>
      <family val="2"/>
      <scheme val="major"/>
    </font>
    <font>
      <b/>
      <sz val="12"/>
      <color theme="1"/>
      <name val="Tahoma"/>
      <family val="2"/>
      <scheme val="major"/>
    </font>
    <font>
      <sz val="9"/>
      <color indexed="81"/>
      <name val="Tahoma"/>
    </font>
    <font>
      <b/>
      <sz val="9"/>
      <color indexed="81"/>
      <name val="Tahom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37">
    <xf numFmtId="0" fontId="0" fillId="0" borderId="0" xfId="0"/>
    <xf numFmtId="2" fontId="0" fillId="0" borderId="1" xfId="0" applyNumberFormat="1" applyBorder="1"/>
    <xf numFmtId="187" fontId="7" fillId="0" borderId="0" xfId="0" applyNumberFormat="1" applyFont="1"/>
    <xf numFmtId="188" fontId="8" fillId="0" borderId="0" xfId="0" applyNumberFormat="1" applyFont="1" applyAlignment="1">
      <alignment horizontal="center"/>
    </xf>
    <xf numFmtId="187" fontId="6" fillId="0" borderId="1" xfId="1" applyFont="1" applyBorder="1"/>
    <xf numFmtId="0" fontId="2" fillId="0" borderId="3" xfId="0" applyFont="1" applyBorder="1"/>
    <xf numFmtId="187" fontId="5" fillId="0" borderId="4" xfId="1" applyFont="1" applyBorder="1"/>
    <xf numFmtId="187" fontId="0" fillId="0" borderId="4" xfId="0" applyNumberFormat="1" applyBorder="1"/>
    <xf numFmtId="0" fontId="0" fillId="0" borderId="5" xfId="0" applyBorder="1"/>
    <xf numFmtId="0" fontId="9" fillId="0" borderId="6" xfId="0" applyFont="1" applyBorder="1"/>
    <xf numFmtId="0" fontId="4" fillId="0" borderId="0" xfId="0" applyFont="1"/>
    <xf numFmtId="0" fontId="0" fillId="0" borderId="7" xfId="0" applyBorder="1"/>
    <xf numFmtId="0" fontId="9" fillId="0" borderId="8" xfId="0" applyFont="1" applyBorder="1"/>
    <xf numFmtId="190" fontId="5" fillId="0" borderId="2" xfId="1" applyNumberFormat="1" applyFont="1" applyBorder="1"/>
    <xf numFmtId="0" fontId="9" fillId="0" borderId="0" xfId="0" applyFont="1"/>
    <xf numFmtId="190" fontId="5" fillId="0" borderId="0" xfId="1" applyNumberFormat="1" applyFont="1" applyBorder="1"/>
    <xf numFmtId="0" fontId="9" fillId="0" borderId="0" xfId="0" applyFont="1" applyAlignment="1">
      <alignment horizontal="center"/>
    </xf>
    <xf numFmtId="187" fontId="9" fillId="0" borderId="0" xfId="1" applyFont="1" applyAlignment="1">
      <alignment horizontal="center"/>
    </xf>
    <xf numFmtId="0" fontId="5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189" fontId="5" fillId="0" borderId="0" xfId="1" applyNumberFormat="1" applyFont="1" applyBorder="1"/>
    <xf numFmtId="0" fontId="5" fillId="0" borderId="8" xfId="0" applyFont="1" applyBorder="1" applyAlignment="1">
      <alignment vertical="center"/>
    </xf>
    <xf numFmtId="189" fontId="5" fillId="0" borderId="2" xfId="1" applyNumberFormat="1" applyFont="1" applyBorder="1"/>
    <xf numFmtId="0" fontId="2" fillId="0" borderId="0" xfId="0" applyFont="1" applyAlignment="1">
      <alignment horizontal="center"/>
    </xf>
    <xf numFmtId="187" fontId="5" fillId="0" borderId="10" xfId="1" applyFont="1" applyBorder="1" applyAlignment="1">
      <alignment horizontal="center"/>
    </xf>
    <xf numFmtId="188" fontId="5" fillId="0" borderId="7" xfId="0" applyNumberFormat="1" applyFont="1" applyBorder="1"/>
    <xf numFmtId="187" fontId="0" fillId="0" borderId="0" xfId="0" applyNumberFormat="1"/>
    <xf numFmtId="0" fontId="9" fillId="0" borderId="11" xfId="0" applyFont="1" applyBorder="1" applyAlignment="1">
      <alignment horizontal="center"/>
    </xf>
    <xf numFmtId="189" fontId="4" fillId="0" borderId="12" xfId="0" applyNumberFormat="1" applyFont="1" applyBorder="1"/>
    <xf numFmtId="189" fontId="4" fillId="0" borderId="13" xfId="0" applyNumberFormat="1" applyFont="1" applyBorder="1"/>
    <xf numFmtId="14" fontId="0" fillId="0" borderId="0" xfId="0" applyNumberFormat="1"/>
    <xf numFmtId="191" fontId="0" fillId="0" borderId="2" xfId="0" applyNumberFormat="1" applyBorder="1"/>
    <xf numFmtId="192" fontId="0" fillId="0" borderId="9" xfId="0" applyNumberFormat="1" applyBorder="1"/>
    <xf numFmtId="187" fontId="5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25DE-E0A3-459B-AC36-342D044EE5E1}">
  <dimension ref="A1:I45"/>
  <sheetViews>
    <sheetView tabSelected="1" topLeftCell="A19" zoomScale="115" zoomScaleNormal="115" workbookViewId="0">
      <selection activeCell="F45" sqref="F45"/>
    </sheetView>
  </sheetViews>
  <sheetFormatPr defaultRowHeight="14.1"/>
  <cols>
    <col min="1" max="1" width="34.375" bestFit="1" customWidth="1"/>
    <col min="2" max="2" width="21.625" bestFit="1" customWidth="1"/>
    <col min="3" max="3" width="42.875" customWidth="1"/>
    <col min="4" max="4" width="27" bestFit="1" customWidth="1"/>
    <col min="5" max="5" width="21.125" bestFit="1" customWidth="1"/>
    <col min="7" max="7" width="18.125" bestFit="1" customWidth="1"/>
    <col min="8" max="8" width="5.25" customWidth="1"/>
    <col min="9" max="9" width="19.625" bestFit="1" customWidth="1"/>
  </cols>
  <sheetData>
    <row r="1" spans="1:9" ht="15">
      <c r="A1" s="5" t="s">
        <v>0</v>
      </c>
      <c r="B1" s="6">
        <v>421004.32</v>
      </c>
      <c r="C1" s="7"/>
      <c r="D1" s="8"/>
    </row>
    <row r="2" spans="1:9" ht="15">
      <c r="A2" s="9" t="s">
        <v>1</v>
      </c>
      <c r="B2" s="36">
        <f>B1*1.0353587654</f>
        <v>435890.51298326656</v>
      </c>
      <c r="C2" s="10" t="s">
        <v>2</v>
      </c>
      <c r="D2" s="11"/>
    </row>
    <row r="3" spans="1:9" ht="15.6" thickBot="1">
      <c r="A3" s="9" t="s">
        <v>3</v>
      </c>
      <c r="B3" s="4">
        <f>B2-B1</f>
        <v>14886.192983266548</v>
      </c>
      <c r="D3" s="11"/>
    </row>
    <row r="4" spans="1:9" ht="15.95" thickTop="1" thickBot="1">
      <c r="A4" s="12" t="s">
        <v>4</v>
      </c>
      <c r="B4" s="13">
        <f>ROUND(B3/B42,10)</f>
        <v>3.53587655E-2</v>
      </c>
      <c r="C4" s="34"/>
      <c r="D4" s="35"/>
    </row>
    <row r="5" spans="1:9" ht="15.6" thickBot="1">
      <c r="A5" s="14"/>
      <c r="B5" s="15"/>
    </row>
    <row r="6" spans="1:9" ht="30">
      <c r="A6" s="18"/>
      <c r="B6" s="19" t="s">
        <v>5</v>
      </c>
      <c r="C6" s="20" t="s">
        <v>4</v>
      </c>
      <c r="D6" s="21" t="s">
        <v>6</v>
      </c>
      <c r="E6" s="30" t="s">
        <v>7</v>
      </c>
      <c r="G6" s="16" t="s">
        <v>8</v>
      </c>
      <c r="H6" s="16"/>
      <c r="I6" s="16" t="s">
        <v>9</v>
      </c>
    </row>
    <row r="7" spans="1:9" ht="15">
      <c r="A7" s="22" t="s">
        <v>10</v>
      </c>
      <c r="B7" s="23">
        <v>27000.1234</v>
      </c>
      <c r="C7" s="15">
        <f>$B$4</f>
        <v>3.53587655E-2</v>
      </c>
      <c r="D7" s="28">
        <f>ROUND(B7*C7,2)</f>
        <v>954.69</v>
      </c>
      <c r="E7" s="31">
        <f>B7+D7</f>
        <v>27954.813399999999</v>
      </c>
      <c r="G7" s="33">
        <v>46217</v>
      </c>
      <c r="H7" s="33"/>
      <c r="I7" cm="1">
        <f t="array" ref="I7">_xlfn.XMATCH(B7&amp;TEXT(G7,"yyyymmdd"),_xlfn.SORTBY($B$7:$B$41&amp;TEXT($G$7:$G$41,"yyyymmdd"),$B$7:$B$41,-1,$G$7:$G$41,1),0)</f>
        <v>2</v>
      </c>
    </row>
    <row r="8" spans="1:9" ht="15">
      <c r="A8" s="22" t="s">
        <v>11</v>
      </c>
      <c r="B8" s="23">
        <v>27000.1234</v>
      </c>
      <c r="C8" s="15">
        <f t="shared" ref="C8:C41" si="0">$B$4</f>
        <v>3.53587655E-2</v>
      </c>
      <c r="D8" s="28">
        <f t="shared" ref="D8:D41" si="1">ROUND(B8*C8,2)</f>
        <v>954.69</v>
      </c>
      <c r="E8" s="31">
        <f t="shared" ref="E8:E41" si="2">B8+D8</f>
        <v>27954.813399999999</v>
      </c>
      <c r="G8" s="33">
        <v>46215</v>
      </c>
      <c r="H8" s="33"/>
      <c r="I8" cm="1">
        <f t="array" ref="I8">_xlfn.XMATCH(B8&amp;TEXT(G8,"yyyymmdd"),_xlfn.SORTBY($B$7:$B$41&amp;TEXT($G$7:$G$41,"yyyymmdd"),$B$7:$B$41,-1,$G$7:$G$41,1),0)</f>
        <v>1</v>
      </c>
    </row>
    <row r="9" spans="1:9" ht="15">
      <c r="A9" s="22" t="s">
        <v>12</v>
      </c>
      <c r="B9" s="23">
        <v>27000.1234</v>
      </c>
      <c r="C9" s="15">
        <f t="shared" si="0"/>
        <v>3.53587655E-2</v>
      </c>
      <c r="D9" s="28">
        <f t="shared" si="1"/>
        <v>954.69</v>
      </c>
      <c r="E9" s="31">
        <f t="shared" si="2"/>
        <v>27954.813399999999</v>
      </c>
      <c r="G9" s="33">
        <v>46222</v>
      </c>
      <c r="H9" s="33"/>
      <c r="I9" cm="1">
        <f t="array" ref="I9">_xlfn.XMATCH(B9&amp;TEXT(G9,"yyyymmdd"),_xlfn.SORTBY($B$7:$B$41&amp;TEXT($G$7:$G$41,"yyyymmdd"),$B$7:$B$41,-1,$G$7:$G$41,1),0)</f>
        <v>3</v>
      </c>
    </row>
    <row r="10" spans="1:9" ht="15">
      <c r="A10" s="22" t="s">
        <v>13</v>
      </c>
      <c r="B10" s="23">
        <v>25000.1234</v>
      </c>
      <c r="C10" s="15">
        <f t="shared" si="0"/>
        <v>3.53587655E-2</v>
      </c>
      <c r="D10" s="28">
        <f t="shared" si="1"/>
        <v>883.97</v>
      </c>
      <c r="E10" s="31">
        <f t="shared" si="2"/>
        <v>25884.093400000002</v>
      </c>
      <c r="G10" s="33">
        <v>46219</v>
      </c>
      <c r="H10" s="33"/>
      <c r="I10" cm="1">
        <f t="array" ref="I10">_xlfn.XMATCH(B10&amp;TEXT(G10,"yyyymmdd"),_xlfn.SORTBY($B$7:$B$41&amp;TEXT($G$7:$G$41,"yyyymmdd"),$B$7:$B$41,-1,$G$7:$G$41,1),0)</f>
        <v>4</v>
      </c>
    </row>
    <row r="11" spans="1:9" ht="15">
      <c r="A11" s="22" t="s">
        <v>14</v>
      </c>
      <c r="B11" s="23">
        <v>24000.1234</v>
      </c>
      <c r="C11" s="15">
        <f t="shared" si="0"/>
        <v>3.53587655E-2</v>
      </c>
      <c r="D11" s="28">
        <f t="shared" si="1"/>
        <v>848.61</v>
      </c>
      <c r="E11" s="31">
        <f t="shared" si="2"/>
        <v>24848.733400000001</v>
      </c>
      <c r="G11" s="33">
        <v>46209</v>
      </c>
      <c r="H11" s="33"/>
      <c r="I11" cm="1">
        <f t="array" ref="I11">_xlfn.XMATCH(B11&amp;TEXT(G11,"yyyymmdd"),_xlfn.SORTBY($B$7:$B$41&amp;TEXT($G$7:$G$41,"yyyymmdd"),$B$7:$B$41,-1,$G$7:$G$41,1),0)</f>
        <v>5</v>
      </c>
    </row>
    <row r="12" spans="1:9" ht="15">
      <c r="A12" s="22" t="s">
        <v>15</v>
      </c>
      <c r="B12" s="23">
        <v>23000.1234</v>
      </c>
      <c r="C12" s="15">
        <f t="shared" si="0"/>
        <v>3.53587655E-2</v>
      </c>
      <c r="D12" s="28">
        <f t="shared" si="1"/>
        <v>813.26</v>
      </c>
      <c r="E12" s="31">
        <f t="shared" si="2"/>
        <v>23813.383399999999</v>
      </c>
      <c r="G12" s="33">
        <v>46222</v>
      </c>
      <c r="H12" s="33"/>
      <c r="I12" cm="1">
        <f t="array" ref="I12">_xlfn.XMATCH(B12&amp;TEXT(G12,"yyyymmdd"),_xlfn.SORTBY($B$7:$B$41&amp;TEXT($G$7:$G$41,"yyyymmdd"),$B$7:$B$41,-1,$G$7:$G$41,1),0)</f>
        <v>6</v>
      </c>
    </row>
    <row r="13" spans="1:9" ht="15">
      <c r="A13" s="22" t="s">
        <v>16</v>
      </c>
      <c r="B13" s="23">
        <v>22000.1234</v>
      </c>
      <c r="C13" s="15">
        <f t="shared" si="0"/>
        <v>3.53587655E-2</v>
      </c>
      <c r="D13" s="28">
        <f t="shared" si="1"/>
        <v>777.9</v>
      </c>
      <c r="E13" s="31">
        <f t="shared" si="2"/>
        <v>22778.023400000002</v>
      </c>
      <c r="G13" s="33">
        <v>46215</v>
      </c>
      <c r="H13" s="33"/>
      <c r="I13" cm="1">
        <f t="array" ref="I13">_xlfn.XMATCH(B13&amp;TEXT(G13,"yyyymmdd"),_xlfn.SORTBY($B$7:$B$41&amp;TEXT($G$7:$G$41,"yyyymmdd"),$B$7:$B$41,-1,$G$7:$G$41,1),0)</f>
        <v>7</v>
      </c>
    </row>
    <row r="14" spans="1:9" ht="15">
      <c r="A14" s="22" t="s">
        <v>17</v>
      </c>
      <c r="B14" s="23">
        <v>21000.1234</v>
      </c>
      <c r="C14" s="15">
        <f t="shared" si="0"/>
        <v>3.53587655E-2</v>
      </c>
      <c r="D14" s="28">
        <f t="shared" si="1"/>
        <v>742.54</v>
      </c>
      <c r="E14" s="31">
        <f t="shared" si="2"/>
        <v>21742.663400000001</v>
      </c>
      <c r="G14" s="33">
        <v>46222</v>
      </c>
      <c r="H14" s="33"/>
      <c r="I14" cm="1">
        <f t="array" ref="I14">_xlfn.XMATCH(B14&amp;TEXT(G14,"yyyymmdd"),_xlfn.SORTBY($B$7:$B$41&amp;TEXT($G$7:$G$41,"yyyymmdd"),$B$7:$B$41,-1,$G$7:$G$41,1),0)</f>
        <v>8</v>
      </c>
    </row>
    <row r="15" spans="1:9" ht="15">
      <c r="A15" s="22" t="s">
        <v>18</v>
      </c>
      <c r="B15" s="23">
        <v>20000.1234</v>
      </c>
      <c r="C15" s="15">
        <f t="shared" si="0"/>
        <v>3.53587655E-2</v>
      </c>
      <c r="D15" s="28">
        <f t="shared" si="1"/>
        <v>707.18</v>
      </c>
      <c r="E15" s="31">
        <f t="shared" si="2"/>
        <v>20707.303400000001</v>
      </c>
      <c r="G15" s="33">
        <v>46209</v>
      </c>
      <c r="H15" s="33"/>
      <c r="I15" cm="1">
        <f t="array" ref="I15">_xlfn.XMATCH(B15&amp;TEXT(G15,"yyyymmdd"),_xlfn.SORTBY($B$7:$B$41&amp;TEXT($G$7:$G$41,"yyyymmdd"),$B$7:$B$41,-1,$G$7:$G$41,1),0)</f>
        <v>9</v>
      </c>
    </row>
    <row r="16" spans="1:9" ht="15">
      <c r="A16" s="22" t="s">
        <v>19</v>
      </c>
      <c r="B16" s="23">
        <v>19000.1234</v>
      </c>
      <c r="C16" s="15">
        <f t="shared" si="0"/>
        <v>3.53587655E-2</v>
      </c>
      <c r="D16" s="28">
        <f t="shared" si="1"/>
        <v>671.82</v>
      </c>
      <c r="E16" s="31">
        <f t="shared" si="2"/>
        <v>19671.9434</v>
      </c>
      <c r="G16" s="33">
        <v>46209</v>
      </c>
      <c r="H16" s="33"/>
      <c r="I16" cm="1">
        <f t="array" ref="I16">_xlfn.XMATCH(B16&amp;TEXT(G16,"yyyymmdd"),_xlfn.SORTBY($B$7:$B$41&amp;TEXT($G$7:$G$41,"yyyymmdd"),$B$7:$B$41,-1,$G$7:$G$41,1),0)</f>
        <v>10</v>
      </c>
    </row>
    <row r="17" spans="1:9" ht="15">
      <c r="A17" s="22" t="s">
        <v>20</v>
      </c>
      <c r="B17" s="23">
        <v>18000.1234</v>
      </c>
      <c r="C17" s="15">
        <f t="shared" si="0"/>
        <v>3.53587655E-2</v>
      </c>
      <c r="D17" s="28">
        <f t="shared" si="1"/>
        <v>636.46</v>
      </c>
      <c r="E17" s="31">
        <f t="shared" si="2"/>
        <v>18636.5834</v>
      </c>
      <c r="G17" s="33">
        <v>46228</v>
      </c>
      <c r="H17" s="33"/>
      <c r="I17" cm="1">
        <f t="array" ref="I17">_xlfn.XMATCH(B17&amp;TEXT(G17,"yyyymmdd"),_xlfn.SORTBY($B$7:$B$41&amp;TEXT($G$7:$G$41,"yyyymmdd"),$B$7:$B$41,-1,$G$7:$G$41,1),0)</f>
        <v>11</v>
      </c>
    </row>
    <row r="18" spans="1:9" ht="15">
      <c r="A18" s="22" t="s">
        <v>21</v>
      </c>
      <c r="B18" s="23">
        <v>17000.1234</v>
      </c>
      <c r="C18" s="15">
        <f t="shared" si="0"/>
        <v>3.53587655E-2</v>
      </c>
      <c r="D18" s="28">
        <f t="shared" si="1"/>
        <v>601.1</v>
      </c>
      <c r="E18" s="31">
        <f t="shared" si="2"/>
        <v>17601.223399999999</v>
      </c>
      <c r="G18" s="33">
        <v>46208</v>
      </c>
      <c r="H18" s="33"/>
      <c r="I18" cm="1">
        <f t="array" ref="I18">_xlfn.XMATCH(B18&amp;TEXT(G18,"yyyymmdd"),_xlfn.SORTBY($B$7:$B$41&amp;TEXT($G$7:$G$41,"yyyymmdd"),$B$7:$B$41,-1,$G$7:$G$41,1),0)</f>
        <v>12</v>
      </c>
    </row>
    <row r="19" spans="1:9" ht="15">
      <c r="A19" s="22" t="s">
        <v>22</v>
      </c>
      <c r="B19" s="23">
        <v>16000.1234</v>
      </c>
      <c r="C19" s="15">
        <f t="shared" si="0"/>
        <v>3.53587655E-2</v>
      </c>
      <c r="D19" s="28">
        <f t="shared" si="1"/>
        <v>565.74</v>
      </c>
      <c r="E19" s="31">
        <f t="shared" si="2"/>
        <v>16565.863400000002</v>
      </c>
      <c r="G19" s="33">
        <v>46226</v>
      </c>
      <c r="H19" s="33"/>
      <c r="I19" cm="1">
        <f t="array" ref="I19">_xlfn.XMATCH(B19&amp;TEXT(G19,"yyyymmdd"),_xlfn.SORTBY($B$7:$B$41&amp;TEXT($G$7:$G$41,"yyyymmdd"),$B$7:$B$41,-1,$G$7:$G$41,1),0)</f>
        <v>13</v>
      </c>
    </row>
    <row r="20" spans="1:9" ht="15">
      <c r="A20" s="22" t="s">
        <v>23</v>
      </c>
      <c r="B20" s="23">
        <v>15000.1234</v>
      </c>
      <c r="C20" s="15">
        <f t="shared" si="0"/>
        <v>3.53587655E-2</v>
      </c>
      <c r="D20" s="28">
        <f t="shared" si="1"/>
        <v>530.39</v>
      </c>
      <c r="E20" s="31">
        <f t="shared" si="2"/>
        <v>15530.5134</v>
      </c>
      <c r="G20" s="33">
        <v>46212</v>
      </c>
      <c r="H20" s="33"/>
      <c r="I20" cm="1">
        <f t="array" ref="I20">_xlfn.XMATCH(B20&amp;TEXT(G20,"yyyymmdd"),_xlfn.SORTBY($B$7:$B$41&amp;TEXT($G$7:$G$41,"yyyymmdd"),$B$7:$B$41,-1,$G$7:$G$41,1),0)</f>
        <v>14</v>
      </c>
    </row>
    <row r="21" spans="1:9" ht="15">
      <c r="A21" s="22" t="s">
        <v>24</v>
      </c>
      <c r="B21" s="23">
        <v>14000.1234</v>
      </c>
      <c r="C21" s="15">
        <f t="shared" si="0"/>
        <v>3.53587655E-2</v>
      </c>
      <c r="D21" s="28">
        <f t="shared" si="1"/>
        <v>495.03</v>
      </c>
      <c r="E21" s="31">
        <f t="shared" si="2"/>
        <v>14495.153400000001</v>
      </c>
      <c r="G21" s="33">
        <v>46221</v>
      </c>
      <c r="H21" s="33"/>
      <c r="I21" cm="1">
        <f t="array" ref="I21">_xlfn.XMATCH(B21&amp;TEXT(G21,"yyyymmdd"),_xlfn.SORTBY($B$7:$B$41&amp;TEXT($G$7:$G$41,"yyyymmdd"),$B$7:$B$41,-1,$G$7:$G$41,1),0)</f>
        <v>15</v>
      </c>
    </row>
    <row r="22" spans="1:9" ht="15">
      <c r="A22" s="22" t="s">
        <v>25</v>
      </c>
      <c r="B22" s="23">
        <v>13000.1234</v>
      </c>
      <c r="C22" s="15">
        <f t="shared" si="0"/>
        <v>3.53587655E-2</v>
      </c>
      <c r="D22" s="28">
        <f t="shared" si="1"/>
        <v>459.67</v>
      </c>
      <c r="E22" s="31">
        <f t="shared" si="2"/>
        <v>13459.7934</v>
      </c>
      <c r="G22" s="33">
        <v>46231</v>
      </c>
      <c r="H22" s="33"/>
      <c r="I22" cm="1">
        <f t="array" ref="I22">_xlfn.XMATCH(B22&amp;TEXT(G22,"yyyymmdd"),_xlfn.SORTBY($B$7:$B$41&amp;TEXT($G$7:$G$41,"yyyymmdd"),$B$7:$B$41,-1,$G$7:$G$41,1),0)</f>
        <v>16</v>
      </c>
    </row>
    <row r="23" spans="1:9" ht="15">
      <c r="A23" s="22" t="s">
        <v>26</v>
      </c>
      <c r="B23" s="23">
        <v>12000.1234</v>
      </c>
      <c r="C23" s="15">
        <f t="shared" si="0"/>
        <v>3.53587655E-2</v>
      </c>
      <c r="D23" s="28">
        <f t="shared" si="1"/>
        <v>424.31</v>
      </c>
      <c r="E23" s="31">
        <f t="shared" si="2"/>
        <v>12424.4334</v>
      </c>
      <c r="G23" s="33">
        <v>46224</v>
      </c>
      <c r="H23" s="33"/>
      <c r="I23" cm="1">
        <f t="array" ref="I23">_xlfn.XMATCH(B23&amp;TEXT(G23,"yyyymmdd"),_xlfn.SORTBY($B$7:$B$41&amp;TEXT($G$7:$G$41,"yyyymmdd"),$B$7:$B$41,-1,$G$7:$G$41,1),0)</f>
        <v>17</v>
      </c>
    </row>
    <row r="24" spans="1:9" ht="15">
      <c r="A24" s="22" t="s">
        <v>27</v>
      </c>
      <c r="B24" s="23">
        <v>11000.1234</v>
      </c>
      <c r="C24" s="15">
        <f t="shared" si="0"/>
        <v>3.53587655E-2</v>
      </c>
      <c r="D24" s="28">
        <f t="shared" si="1"/>
        <v>388.95</v>
      </c>
      <c r="E24" s="31">
        <f t="shared" si="2"/>
        <v>11389.073400000001</v>
      </c>
      <c r="G24" s="33">
        <v>46229</v>
      </c>
      <c r="H24" s="33"/>
      <c r="I24" cm="1">
        <f t="array" ref="I24">_xlfn.XMATCH(B24&amp;TEXT(G24,"yyyymmdd"),_xlfn.SORTBY($B$7:$B$41&amp;TEXT($G$7:$G$41,"yyyymmdd"),$B$7:$B$41,-1,$G$7:$G$41,1),0)</f>
        <v>18</v>
      </c>
    </row>
    <row r="25" spans="1:9" ht="15">
      <c r="A25" s="22" t="s">
        <v>28</v>
      </c>
      <c r="B25" s="23">
        <v>10000.1234</v>
      </c>
      <c r="C25" s="15">
        <f t="shared" si="0"/>
        <v>3.53587655E-2</v>
      </c>
      <c r="D25" s="28">
        <f t="shared" si="1"/>
        <v>353.59</v>
      </c>
      <c r="E25" s="31">
        <f t="shared" si="2"/>
        <v>10353.713400000001</v>
      </c>
      <c r="G25" s="33">
        <v>46203</v>
      </c>
      <c r="H25" s="33"/>
      <c r="I25" cm="1">
        <f t="array" ref="I25">_xlfn.XMATCH(B25&amp;TEXT(G25,"yyyymmdd"),_xlfn.SORTBY($B$7:$B$41&amp;TEXT($G$7:$G$41,"yyyymmdd"),$B$7:$B$41,-1,$G$7:$G$41,1),0)</f>
        <v>19</v>
      </c>
    </row>
    <row r="26" spans="1:9" ht="15">
      <c r="A26" s="22" t="s">
        <v>29</v>
      </c>
      <c r="B26" s="23">
        <v>9000.1234000000004</v>
      </c>
      <c r="C26" s="15">
        <f t="shared" si="0"/>
        <v>3.53587655E-2</v>
      </c>
      <c r="D26" s="28">
        <f>ROUND(B26*C26,2)</f>
        <v>318.23</v>
      </c>
      <c r="E26" s="31">
        <f t="shared" si="2"/>
        <v>9318.3534</v>
      </c>
      <c r="G26" s="33">
        <v>46232</v>
      </c>
      <c r="H26" s="33"/>
      <c r="I26" cm="1">
        <f t="array" ref="I26">_xlfn.XMATCH(B26&amp;TEXT(G26,"yyyymmdd"),_xlfn.SORTBY($B$7:$B$41&amp;TEXT($G$7:$G$41,"yyyymmdd"),$B$7:$B$41,-1,$G$7:$G$41,1),0)</f>
        <v>20</v>
      </c>
    </row>
    <row r="27" spans="1:9" ht="15">
      <c r="A27" s="22" t="s">
        <v>30</v>
      </c>
      <c r="B27" s="23">
        <v>8000.1234000000004</v>
      </c>
      <c r="C27" s="15">
        <f t="shared" si="0"/>
        <v>3.53587655E-2</v>
      </c>
      <c r="D27" s="28">
        <f t="shared" si="1"/>
        <v>282.87</v>
      </c>
      <c r="E27" s="31">
        <f t="shared" si="2"/>
        <v>8282.9934000000012</v>
      </c>
      <c r="G27" s="33">
        <v>46231</v>
      </c>
      <c r="H27" s="33"/>
      <c r="I27" cm="1">
        <f t="array" ref="I27">_xlfn.XMATCH(B27&amp;TEXT(G27,"yyyymmdd"),_xlfn.SORTBY($B$7:$B$41&amp;TEXT($G$7:$G$41,"yyyymmdd"),$B$7:$B$41,-1,$G$7:$G$41,1),0)</f>
        <v>21</v>
      </c>
    </row>
    <row r="28" spans="1:9" ht="15">
      <c r="A28" s="22" t="s">
        <v>31</v>
      </c>
      <c r="B28" s="23">
        <v>7000.1234000000004</v>
      </c>
      <c r="C28" s="15">
        <f t="shared" si="0"/>
        <v>3.53587655E-2</v>
      </c>
      <c r="D28" s="28">
        <f t="shared" si="1"/>
        <v>247.52</v>
      </c>
      <c r="E28" s="31">
        <f t="shared" si="2"/>
        <v>7247.6434000000008</v>
      </c>
      <c r="G28" s="33">
        <v>46210</v>
      </c>
      <c r="H28" s="33"/>
      <c r="I28" cm="1">
        <f t="array" ref="I28">_xlfn.XMATCH(B28&amp;TEXT(G28,"yyyymmdd"),_xlfn.SORTBY($B$7:$B$41&amp;TEXT($G$7:$G$41,"yyyymmdd"),$B$7:$B$41,-1,$G$7:$G$41,1),0)</f>
        <v>22</v>
      </c>
    </row>
    <row r="29" spans="1:9" ht="15">
      <c r="A29" s="22" t="s">
        <v>32</v>
      </c>
      <c r="B29" s="23">
        <v>6000.1234000000004</v>
      </c>
      <c r="C29" s="15">
        <f t="shared" si="0"/>
        <v>3.53587655E-2</v>
      </c>
      <c r="D29" s="28">
        <f t="shared" si="1"/>
        <v>212.16</v>
      </c>
      <c r="E29" s="31">
        <f t="shared" si="2"/>
        <v>6212.2834000000003</v>
      </c>
      <c r="G29" s="33">
        <v>46204</v>
      </c>
      <c r="H29" s="33"/>
      <c r="I29" cm="1">
        <f t="array" ref="I29">_xlfn.XMATCH(B29&amp;TEXT(G29,"yyyymmdd"),_xlfn.SORTBY($B$7:$B$41&amp;TEXT($G$7:$G$41,"yyyymmdd"),$B$7:$B$41,-1,$G$7:$G$41,1),0)</f>
        <v>23</v>
      </c>
    </row>
    <row r="30" spans="1:9" ht="15">
      <c r="A30" s="22" t="s">
        <v>33</v>
      </c>
      <c r="B30" s="23">
        <v>5000.1234000000004</v>
      </c>
      <c r="C30" s="15">
        <f t="shared" si="0"/>
        <v>3.53587655E-2</v>
      </c>
      <c r="D30" s="28">
        <f t="shared" si="1"/>
        <v>176.8</v>
      </c>
      <c r="E30" s="31">
        <f t="shared" si="2"/>
        <v>5176.9234000000006</v>
      </c>
      <c r="G30" s="33">
        <v>46229</v>
      </c>
      <c r="H30" s="33"/>
      <c r="I30" cm="1">
        <f t="array" ref="I30">_xlfn.XMATCH(B30&amp;TEXT(G30,"yyyymmdd"),_xlfn.SORTBY($B$7:$B$41&amp;TEXT($G$7:$G$41,"yyyymmdd"),$B$7:$B$41,-1,$G$7:$G$41,1),0)</f>
        <v>25</v>
      </c>
    </row>
    <row r="31" spans="1:9" ht="15">
      <c r="A31" s="22" t="s">
        <v>34</v>
      </c>
      <c r="B31" s="23">
        <v>5000.1234000000004</v>
      </c>
      <c r="C31" s="15">
        <f t="shared" si="0"/>
        <v>3.53587655E-2</v>
      </c>
      <c r="D31" s="28">
        <f t="shared" si="1"/>
        <v>176.8</v>
      </c>
      <c r="E31" s="31">
        <f t="shared" si="2"/>
        <v>5176.9234000000006</v>
      </c>
      <c r="G31" s="33">
        <v>46223</v>
      </c>
      <c r="H31" s="33"/>
      <c r="I31" cm="1">
        <f t="array" ref="I31">_xlfn.XMATCH(B31&amp;TEXT(G31,"yyyymmdd"),_xlfn.SORTBY($B$7:$B$41&amp;TEXT($G$7:$G$41,"yyyymmdd"),$B$7:$B$41,-1,$G$7:$G$41,1),0)</f>
        <v>24</v>
      </c>
    </row>
    <row r="32" spans="1:9" ht="15">
      <c r="A32" s="22" t="s">
        <v>35</v>
      </c>
      <c r="B32" s="23">
        <v>4000.1233999999999</v>
      </c>
      <c r="C32" s="15">
        <f t="shared" si="0"/>
        <v>3.53587655E-2</v>
      </c>
      <c r="D32" s="28">
        <f t="shared" si="1"/>
        <v>141.44</v>
      </c>
      <c r="E32" s="31">
        <f t="shared" si="2"/>
        <v>4141.5634</v>
      </c>
      <c r="G32" s="33">
        <v>46216</v>
      </c>
      <c r="H32" s="33"/>
      <c r="I32" cm="1">
        <f t="array" ref="I32">_xlfn.XMATCH(B32&amp;TEXT(G32,"yyyymmdd"),_xlfn.SORTBY($B$7:$B$41&amp;TEXT($G$7:$G$41,"yyyymmdd"),$B$7:$B$41,-1,$G$7:$G$41,1),0)</f>
        <v>26</v>
      </c>
    </row>
    <row r="33" spans="1:9" ht="15">
      <c r="A33" s="22" t="s">
        <v>36</v>
      </c>
      <c r="B33" s="23">
        <v>4000.1233999999999</v>
      </c>
      <c r="C33" s="15">
        <f t="shared" si="0"/>
        <v>3.53587655E-2</v>
      </c>
      <c r="D33" s="28">
        <f t="shared" si="1"/>
        <v>141.44</v>
      </c>
      <c r="E33" s="31">
        <f t="shared" si="2"/>
        <v>4141.5634</v>
      </c>
      <c r="G33" s="33">
        <v>46216</v>
      </c>
      <c r="H33" s="33"/>
      <c r="I33" cm="1">
        <f t="array" ref="I33">_xlfn.XMATCH(B33&amp;TEXT(G33,"yyyymmdd"),_xlfn.SORTBY($B$7:$B$41&amp;TEXT($G$7:$G$41,"yyyymmdd"),$B$7:$B$41,-1,$G$7:$G$41,1),0)</f>
        <v>26</v>
      </c>
    </row>
    <row r="34" spans="1:9" ht="15">
      <c r="A34" s="22" t="s">
        <v>37</v>
      </c>
      <c r="B34" s="23">
        <v>3000.1233999999999</v>
      </c>
      <c r="C34" s="15">
        <f t="shared" si="0"/>
        <v>3.53587655E-2</v>
      </c>
      <c r="D34" s="28">
        <f t="shared" si="1"/>
        <v>106.08</v>
      </c>
      <c r="E34" s="31">
        <f t="shared" si="2"/>
        <v>3106.2033999999999</v>
      </c>
      <c r="G34" s="33">
        <v>46211</v>
      </c>
      <c r="H34" s="33"/>
      <c r="I34" cm="1">
        <f t="array" ref="I34">_xlfn.XMATCH(B34&amp;TEXT(G34,"yyyymmdd"),_xlfn.SORTBY($B$7:$B$41&amp;TEXT($G$7:$G$41,"yyyymmdd"),$B$7:$B$41,-1,$G$7:$G$41,1),0)</f>
        <v>28</v>
      </c>
    </row>
    <row r="35" spans="1:9" ht="15">
      <c r="A35" s="22" t="s">
        <v>38</v>
      </c>
      <c r="B35" s="23">
        <v>3000.1233999999999</v>
      </c>
      <c r="C35" s="15">
        <f t="shared" si="0"/>
        <v>3.53587655E-2</v>
      </c>
      <c r="D35" s="28">
        <f t="shared" si="1"/>
        <v>106.08</v>
      </c>
      <c r="E35" s="31">
        <f t="shared" si="2"/>
        <v>3106.2033999999999</v>
      </c>
      <c r="G35" s="33">
        <v>46224</v>
      </c>
      <c r="H35" s="33"/>
      <c r="I35" cm="1">
        <f t="array" ref="I35">_xlfn.XMATCH(B35&amp;TEXT(G35,"yyyymmdd"),_xlfn.SORTBY($B$7:$B$41&amp;TEXT($G$7:$G$41,"yyyymmdd"),$B$7:$B$41,-1,$G$7:$G$41,1),0)</f>
        <v>29</v>
      </c>
    </row>
    <row r="36" spans="1:9" ht="15">
      <c r="A36" s="22" t="s">
        <v>39</v>
      </c>
      <c r="B36" s="23">
        <v>2000.1233999999999</v>
      </c>
      <c r="C36" s="15">
        <f t="shared" si="0"/>
        <v>3.53587655E-2</v>
      </c>
      <c r="D36" s="28">
        <f t="shared" si="1"/>
        <v>70.72</v>
      </c>
      <c r="E36" s="31">
        <f t="shared" si="2"/>
        <v>2070.8433999999997</v>
      </c>
      <c r="G36" s="33">
        <v>46218</v>
      </c>
      <c r="H36" s="33"/>
      <c r="I36" cm="1">
        <f t="array" ref="I36">_xlfn.XMATCH(B36&amp;TEXT(G36,"yyyymmdd"),_xlfn.SORTBY($B$7:$B$41&amp;TEXT($G$7:$G$41,"yyyymmdd"),$B$7:$B$41,-1,$G$7:$G$41,1),0)</f>
        <v>31</v>
      </c>
    </row>
    <row r="37" spans="1:9" ht="15">
      <c r="A37" s="22" t="s">
        <v>40</v>
      </c>
      <c r="B37" s="23">
        <v>2000.1233999999999</v>
      </c>
      <c r="C37" s="15">
        <f t="shared" si="0"/>
        <v>3.53587655E-2</v>
      </c>
      <c r="D37" s="28">
        <f t="shared" si="1"/>
        <v>70.72</v>
      </c>
      <c r="E37" s="31">
        <f t="shared" si="2"/>
        <v>2070.8433999999997</v>
      </c>
      <c r="G37" s="33">
        <v>46204</v>
      </c>
      <c r="H37" s="33"/>
      <c r="I37" cm="1">
        <f t="array" ref="I37">_xlfn.XMATCH(B37&amp;TEXT(G37,"yyyymmdd"),_xlfn.SORTBY($B$7:$B$41&amp;TEXT($G$7:$G$41,"yyyymmdd"),$B$7:$B$41,-1,$G$7:$G$41,1),0)</f>
        <v>30</v>
      </c>
    </row>
    <row r="38" spans="1:9" ht="15">
      <c r="A38" s="22" t="s">
        <v>41</v>
      </c>
      <c r="B38" s="23">
        <v>1000.1233999999999</v>
      </c>
      <c r="C38" s="15">
        <f t="shared" si="0"/>
        <v>3.53587655E-2</v>
      </c>
      <c r="D38" s="28">
        <f t="shared" si="1"/>
        <v>35.36</v>
      </c>
      <c r="E38" s="31">
        <f t="shared" si="2"/>
        <v>1035.4833999999998</v>
      </c>
      <c r="G38" s="33">
        <v>46219</v>
      </c>
      <c r="H38" s="33"/>
      <c r="I38" cm="1">
        <f t="array" ref="I38">_xlfn.XMATCH(B38&amp;TEXT(G38,"yyyymmdd"),_xlfn.SORTBY($B$7:$B$41&amp;TEXT($G$7:$G$41,"yyyymmdd"),$B$7:$B$41,-1,$G$7:$G$41,1),0)</f>
        <v>32</v>
      </c>
    </row>
    <row r="39" spans="1:9" ht="15">
      <c r="A39" s="22" t="s">
        <v>42</v>
      </c>
      <c r="B39" s="23">
        <v>1000.1233999999999</v>
      </c>
      <c r="C39" s="15">
        <f t="shared" si="0"/>
        <v>3.53587655E-2</v>
      </c>
      <c r="D39" s="28">
        <f t="shared" si="1"/>
        <v>35.36</v>
      </c>
      <c r="E39" s="31">
        <f t="shared" si="2"/>
        <v>1035.4833999999998</v>
      </c>
      <c r="G39" s="33">
        <v>46220</v>
      </c>
      <c r="H39" s="33"/>
      <c r="I39" cm="1">
        <f t="array" ref="I39">_xlfn.XMATCH(B39&amp;TEXT(G39,"yyyymmdd"),_xlfn.SORTBY($B$7:$B$41&amp;TEXT($G$7:$G$41,"yyyymmdd"),$B$7:$B$41,-1,$G$7:$G$41,1),0)</f>
        <v>33</v>
      </c>
    </row>
    <row r="40" spans="1:9" ht="15">
      <c r="A40" s="22" t="s">
        <v>43</v>
      </c>
      <c r="B40" s="23">
        <v>0.12340000000040199</v>
      </c>
      <c r="C40" s="15">
        <f t="shared" si="0"/>
        <v>3.53587655E-2</v>
      </c>
      <c r="D40" s="28">
        <f>ROUND(B40*C40,2)</f>
        <v>0</v>
      </c>
      <c r="E40" s="31">
        <f t="shared" si="2"/>
        <v>0.12340000000040199</v>
      </c>
      <c r="G40" s="33">
        <v>46203</v>
      </c>
      <c r="H40" s="33"/>
      <c r="I40" cm="1">
        <f t="array" ref="I40">_xlfn.XMATCH(B40&amp;TEXT(G40,"yyyymmdd"),_xlfn.SORTBY($B$7:$B$41&amp;TEXT($G$7:$G$41,"yyyymmdd"),$B$7:$B$41,-1,$G$7:$G$41,1),0)</f>
        <v>34</v>
      </c>
    </row>
    <row r="41" spans="1:9" ht="15.6" thickBot="1">
      <c r="A41" s="24" t="s">
        <v>44</v>
      </c>
      <c r="B41" s="25">
        <v>0.12340000000040199</v>
      </c>
      <c r="C41" s="13">
        <f t="shared" si="0"/>
        <v>3.53587655E-2</v>
      </c>
      <c r="D41" s="28">
        <f t="shared" si="1"/>
        <v>0</v>
      </c>
      <c r="E41" s="32">
        <f t="shared" si="2"/>
        <v>0.12340000000040199</v>
      </c>
      <c r="G41" s="33">
        <v>46210</v>
      </c>
      <c r="H41" s="33"/>
      <c r="I41" cm="1">
        <f t="array" ref="I41">_xlfn.XMATCH(B41&amp;TEXT(G41,"yyyymmdd"),_xlfn.SORTBY($B$7:$B$41&amp;TEXT($G$7:$G$41,"yyyymmdd"),$B$7:$B$41,-1,$G$7:$G$41,1),0)</f>
        <v>35</v>
      </c>
    </row>
    <row r="42" spans="1:9" ht="15.6" thickBot="1">
      <c r="A42" s="16" t="s">
        <v>45</v>
      </c>
      <c r="B42" s="27">
        <f>SUM(B7:B41)</f>
        <v>421004.31899999967</v>
      </c>
      <c r="C42" s="17" t="s">
        <v>46</v>
      </c>
      <c r="D42" s="3">
        <f>SUM(D7:D41)</f>
        <v>14886.170000000002</v>
      </c>
      <c r="E42" s="29"/>
    </row>
    <row r="43" spans="1:9" ht="14.45" thickTop="1">
      <c r="C43" s="26" t="s">
        <v>47</v>
      </c>
      <c r="D43" s="2">
        <f>B3</f>
        <v>14886.192983266548</v>
      </c>
      <c r="E43" s="29"/>
    </row>
    <row r="44" spans="1:9" ht="14.45" thickBot="1">
      <c r="C44" s="26" t="s">
        <v>48</v>
      </c>
      <c r="D44" s="1">
        <f>D43-D42</f>
        <v>2.2983266546361847E-2</v>
      </c>
      <c r="E44" s="29"/>
    </row>
    <row r="45" spans="1:9" ht="14.45" thickTop="1"/>
  </sheetData>
  <sortState xmlns:xlrd2="http://schemas.microsoft.com/office/spreadsheetml/2017/richdata2" ref="B2:D43">
    <sortCondition descending="1" ref="B2:B43"/>
  </sortState>
  <phoneticPr fontId="3" type="noConversion"/>
  <pageMargins left="0.7" right="0.7" top="0.75" bottom="0.75" header="0.3" footer="0.3"/>
  <headerFooter>
    <oddFooter>&amp;L_x000D_&amp;1#&amp;"Aptos"&amp;2&amp;K000000 Classified as Token X Internal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67B3EA8643E2C46B543437501936234" ma:contentTypeVersion="3" ma:contentTypeDescription="สร้างเอกสารใหม่" ma:contentTypeScope="" ma:versionID="66813f5e154a1400ca2c15f2b833928c">
  <xsd:schema xmlns:xsd="http://www.w3.org/2001/XMLSchema" xmlns:xs="http://www.w3.org/2001/XMLSchema" xmlns:p="http://schemas.microsoft.com/office/2006/metadata/properties" xmlns:ns2="e6050240-d9ef-432f-a4a0-8181961a50ed" targetNamespace="http://schemas.microsoft.com/office/2006/metadata/properties" ma:root="true" ma:fieldsID="ba74e50539d141a39e27eed0c6a2324c" ns2:_="">
    <xsd:import namespace="e6050240-d9ef-432f-a4a0-8181961a5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50240-d9ef-432f-a4a0-8181961a50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1037B2-5D2E-41CF-8E38-841F299E6D54}"/>
</file>

<file path=customXml/itemProps2.xml><?xml version="1.0" encoding="utf-8"?>
<ds:datastoreItem xmlns:ds="http://schemas.openxmlformats.org/officeDocument/2006/customXml" ds:itemID="{E437D829-6A77-4641-BACC-3C41781A0F57}"/>
</file>

<file path=customXml/itemProps3.xml><?xml version="1.0" encoding="utf-8"?>
<ds:datastoreItem xmlns:ds="http://schemas.openxmlformats.org/officeDocument/2006/customXml" ds:itemID="{7C2B6F5A-7201-4AE8-8453-796CFB43F79F}"/>
</file>

<file path=docMetadata/LabelInfo.xml><?xml version="1.0" encoding="utf-8"?>
<clbl:labelList xmlns:clbl="http://schemas.microsoft.com/office/2020/mipLabelMetadata">
  <clbl:label id="{37824cac-1226-4fba-a6a6-ea80780cdf0b}" enabled="1" method="Standard" siteId="{45202dee-4088-4e8c-8ebd-c01f56740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SIRIWAN WATNITANON</dc:creator>
  <cp:keywords/>
  <dc:description/>
  <cp:lastModifiedBy/>
  <cp:revision/>
  <dcterms:created xsi:type="dcterms:W3CDTF">2026-06-02T10:39:12Z</dcterms:created>
  <dcterms:modified xsi:type="dcterms:W3CDTF">2026-08-07T04:18:59Z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0x010100567B3EA8643E2C46B543437501936234</vt:lpwstr>
  </property>
  <property fmtid="{D5CDD505-2E9C-101B-9397-08002B2CF9AE}" pid="3" name="MediaServiceImageTags">
    <vt:lpwstr/>
  </property>
  <property fmtid="{D5CDD505-2E9C-101B-9397-08002B2CF9AE}" pid="4" name="MSIP_Label_f5e14ba5-b3fb-4230-b88f-7d143526f896_Enabled">
    <vt:lpwstr>true</vt:lpwstr>
  </property>
  <property fmtid="{D5CDD505-2E9C-101B-9397-08002B2CF9AE}" pid="5" name="MSIP_Label_f5e14ba5-b3fb-4230-b88f-7d143526f896_SetDate">
    <vt:lpwstr>2026-08-06T03:54:39Z</vt:lpwstr>
  </property>
  <property fmtid="{D5CDD505-2E9C-101B-9397-08002B2CF9AE}" pid="6" name="MSIP_Label_f5e14ba5-b3fb-4230-b88f-7d143526f896_Method">
    <vt:lpwstr>Standard</vt:lpwstr>
  </property>
  <property fmtid="{D5CDD505-2E9C-101B-9397-08002B2CF9AE}" pid="7" name="MSIP_Label_f5e14ba5-b3fb-4230-b88f-7d143526f896_Name">
    <vt:lpwstr>Internal-TokenX</vt:lpwstr>
  </property>
  <property fmtid="{D5CDD505-2E9C-101B-9397-08002B2CF9AE}" pid="8" name="MSIP_Label_f5e14ba5-b3fb-4230-b88f-7d143526f896_SiteId">
    <vt:lpwstr>d884f66e-8fdc-48db-ab9c-599359efd778</vt:lpwstr>
  </property>
  <property fmtid="{D5CDD505-2E9C-101B-9397-08002B2CF9AE}" pid="9" name="MSIP_Label_f5e14ba5-b3fb-4230-b88f-7d143526f896_ActionId">
    <vt:lpwstr>fdf7705f-1816-46f8-b1b3-38049f764a2d</vt:lpwstr>
  </property>
  <property fmtid="{D5CDD505-2E9C-101B-9397-08002B2CF9AE}" pid="10" name="MSIP_Label_f5e14ba5-b3fb-4230-b88f-7d143526f896_ContentBits">
    <vt:lpwstr>2</vt:lpwstr>
  </property>
  <property fmtid="{D5CDD505-2E9C-101B-9397-08002B2CF9AE}" pid="11" name="MSIP_Label_f5e14ba5-b3fb-4230-b88f-7d143526f896_Tag">
    <vt:lpwstr>10, 3, 0, 2</vt:lpwstr>
  </property>
</Properties>
</file>